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Ivan\Documents\logisim-evolution\"/>
    </mc:Choice>
  </mc:AlternateContent>
  <bookViews>
    <workbookView xWindow="0" yWindow="0" windowWidth="28800" windowHeight="12435" tabRatio="500" activeTab="3"/>
  </bookViews>
  <sheets>
    <sheet name="Instruções" sheetId="1" r:id="rId1"/>
    <sheet name="Traço Principal" sheetId="2" r:id="rId2"/>
    <sheet name="Teste de Conflito" sheetId="3" r:id="rId3"/>
    <sheet name="Resumo" sheetId="4" r:id="rId4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8" i="2" l="1"/>
  <c r="O9" i="2"/>
  <c r="O10" i="2" s="1"/>
  <c r="O11" i="2" s="1"/>
  <c r="O12" i="2" s="1"/>
  <c r="H13" i="2" s="1"/>
  <c r="G13" i="2" s="1"/>
  <c r="I13" i="2" s="1"/>
  <c r="J13" i="2" s="1"/>
  <c r="O13" i="2"/>
  <c r="O14" i="2"/>
  <c r="O15" i="2"/>
  <c r="O16" i="2"/>
  <c r="O17" i="2"/>
  <c r="O18" i="2"/>
  <c r="N8" i="2"/>
  <c r="N9" i="2" s="1"/>
  <c r="N10" i="2" s="1"/>
  <c r="H11" i="2" s="1"/>
  <c r="G11" i="2" s="1"/>
  <c r="I11" i="2" s="1"/>
  <c r="J11" i="2" s="1"/>
  <c r="N11" i="2"/>
  <c r="N12" i="2"/>
  <c r="N13" i="2"/>
  <c r="N14" i="2" s="1"/>
  <c r="N15" i="2" s="1"/>
  <c r="N16" i="2" s="1"/>
  <c r="N17" i="2" s="1"/>
  <c r="N18" i="2" s="1"/>
  <c r="M8" i="2"/>
  <c r="M9" i="2"/>
  <c r="M10" i="2"/>
  <c r="M11" i="2"/>
  <c r="M12" i="2" s="1"/>
  <c r="M13" i="2" s="1"/>
  <c r="M14" i="2" s="1"/>
  <c r="H15" i="2" s="1"/>
  <c r="G15" i="2" s="1"/>
  <c r="I15" i="2" s="1"/>
  <c r="J15" i="2" s="1"/>
  <c r="M15" i="2"/>
  <c r="M16" i="2"/>
  <c r="M17" i="2"/>
  <c r="M18" i="2"/>
  <c r="L8" i="2"/>
  <c r="H9" i="2" s="1"/>
  <c r="G9" i="2" s="1"/>
  <c r="I9" i="2" s="1"/>
  <c r="J9" i="2" s="1"/>
  <c r="L9" i="2"/>
  <c r="L10" i="2"/>
  <c r="L11" i="2" s="1"/>
  <c r="L12" i="2" s="1"/>
  <c r="L13" i="2" s="1"/>
  <c r="L14" i="2" s="1"/>
  <c r="L15" i="2" s="1"/>
  <c r="L16" i="2" s="1"/>
  <c r="L17" i="2" s="1"/>
  <c r="L18" i="2" s="1"/>
  <c r="K9" i="2"/>
  <c r="K10" i="2"/>
  <c r="K11" i="2"/>
  <c r="K12" i="2"/>
  <c r="K13" i="2"/>
  <c r="K14" i="2"/>
  <c r="K15" i="2"/>
  <c r="K16" i="2"/>
  <c r="K17" i="2"/>
  <c r="K18" i="2"/>
  <c r="J8" i="2"/>
  <c r="I8" i="2"/>
  <c r="H8" i="2"/>
  <c r="G8" i="2" s="1"/>
  <c r="H10" i="2"/>
  <c r="G10" i="2" s="1"/>
  <c r="I10" i="2" s="1"/>
  <c r="J10" i="2" s="1"/>
  <c r="H12" i="2"/>
  <c r="G12" i="2" s="1"/>
  <c r="I12" i="2" s="1"/>
  <c r="J12" i="2" s="1"/>
  <c r="H14" i="2"/>
  <c r="G14" i="2" s="1"/>
  <c r="I14" i="2" s="1"/>
  <c r="J14" i="2" s="1"/>
  <c r="H16" i="2"/>
  <c r="G16" i="2" s="1"/>
  <c r="I16" i="2" s="1"/>
  <c r="J16" i="2" s="1"/>
  <c r="H17" i="2"/>
  <c r="G17" i="2" s="1"/>
  <c r="I17" i="2" s="1"/>
  <c r="J17" i="2" s="1"/>
  <c r="H18" i="2"/>
  <c r="G18" i="2" s="1"/>
  <c r="I18" i="2" s="1"/>
  <c r="J18" i="2" s="1"/>
  <c r="F9" i="2"/>
  <c r="F10" i="2"/>
  <c r="F11" i="2"/>
  <c r="F12" i="2"/>
  <c r="F13" i="2"/>
  <c r="F14" i="2"/>
  <c r="F15" i="2"/>
  <c r="F16" i="2"/>
  <c r="F17" i="2"/>
  <c r="F18" i="2"/>
  <c r="E9" i="2"/>
  <c r="E10" i="2"/>
  <c r="E11" i="2"/>
  <c r="E12" i="2"/>
  <c r="E13" i="2"/>
  <c r="E14" i="2"/>
  <c r="E15" i="2"/>
  <c r="E16" i="2"/>
  <c r="E17" i="2"/>
  <c r="E18" i="2"/>
  <c r="D9" i="2"/>
  <c r="D10" i="2"/>
  <c r="D11" i="2"/>
  <c r="D12" i="2"/>
  <c r="D13" i="2"/>
  <c r="D14" i="2"/>
  <c r="D15" i="2"/>
  <c r="D16" i="2"/>
  <c r="D17" i="2"/>
  <c r="D18" i="2"/>
  <c r="C9" i="2"/>
  <c r="C10" i="2"/>
  <c r="C11" i="2"/>
  <c r="C12" i="2"/>
  <c r="C13" i="2"/>
  <c r="C14" i="2"/>
  <c r="C15" i="2"/>
  <c r="C16" i="2"/>
  <c r="C17" i="2"/>
  <c r="C18" i="2"/>
  <c r="C8" i="2"/>
  <c r="D8" i="2" s="1"/>
  <c r="K8" i="2" s="1"/>
  <c r="C3" i="3"/>
  <c r="D3" i="3" s="1"/>
  <c r="F4" i="3"/>
  <c r="F5" i="3"/>
  <c r="F6" i="3"/>
  <c r="E4" i="3"/>
  <c r="E5" i="3"/>
  <c r="E6" i="3"/>
  <c r="D5" i="3"/>
  <c r="D6" i="3"/>
  <c r="D4" i="3"/>
  <c r="C5" i="3"/>
  <c r="C6" i="3"/>
  <c r="C4" i="3"/>
  <c r="C7" i="2"/>
  <c r="F7" i="2" s="1"/>
  <c r="E6" i="2"/>
  <c r="C6" i="2"/>
  <c r="D6" i="2" s="1"/>
  <c r="K6" i="2" s="1"/>
  <c r="C5" i="2"/>
  <c r="F5" i="2" s="1"/>
  <c r="E4" i="2"/>
  <c r="C4" i="2"/>
  <c r="F4" i="2" s="1"/>
  <c r="C3" i="2"/>
  <c r="E3" i="2" s="1"/>
  <c r="F8" i="2" l="1"/>
  <c r="E8" i="2"/>
  <c r="F3" i="3"/>
  <c r="E3" i="3"/>
  <c r="H3" i="2"/>
  <c r="G3" i="2" s="1"/>
  <c r="O3" i="2"/>
  <c r="O4" i="2" s="1"/>
  <c r="M3" i="2"/>
  <c r="M4" i="2" s="1"/>
  <c r="N3" i="2"/>
  <c r="N4" i="2"/>
  <c r="F6" i="2"/>
  <c r="F3" i="2"/>
  <c r="D5" i="2"/>
  <c r="K5" i="2" s="1"/>
  <c r="D3" i="2"/>
  <c r="K3" i="2" s="1"/>
  <c r="L3" i="2" s="1"/>
  <c r="H4" i="2" s="1"/>
  <c r="G4" i="2" s="1"/>
  <c r="I4" i="2" s="1"/>
  <c r="J4" i="2" s="1"/>
  <c r="M6" i="2"/>
  <c r="E5" i="2"/>
  <c r="D7" i="2"/>
  <c r="K7" i="2" s="1"/>
  <c r="D4" i="2"/>
  <c r="K4" i="2" s="1"/>
  <c r="L4" i="2" s="1"/>
  <c r="E7" i="2"/>
  <c r="M7" i="2" l="1"/>
  <c r="L7" i="2"/>
  <c r="H5" i="2"/>
  <c r="G5" i="2" s="1"/>
  <c r="I5" i="2" s="1"/>
  <c r="J5" i="2" s="1"/>
  <c r="O5" i="2"/>
  <c r="O6" i="2" s="1"/>
  <c r="O7" i="2" s="1"/>
  <c r="N5" i="2"/>
  <c r="N6" i="2" s="1"/>
  <c r="N7" i="2" s="1"/>
  <c r="M5" i="2"/>
  <c r="H6" i="2" s="1"/>
  <c r="G6" i="2" s="1"/>
  <c r="I6" i="2" s="1"/>
  <c r="J6" i="2" s="1"/>
  <c r="L5" i="2"/>
  <c r="L6" i="2" s="1"/>
  <c r="H7" i="2" s="1"/>
  <c r="G7" i="2" s="1"/>
  <c r="I7" i="2" s="1"/>
  <c r="J7" i="2" s="1"/>
  <c r="I3" i="2"/>
  <c r="J3" i="2" s="1"/>
  <c r="I3" i="3"/>
  <c r="J3" i="3" s="1"/>
  <c r="I4" i="3"/>
  <c r="J4" i="3" s="1"/>
  <c r="I5" i="3"/>
  <c r="J5" i="3" s="1"/>
  <c r="I6" i="3"/>
  <c r="J6" i="3" s="1"/>
</calcChain>
</file>

<file path=xl/sharedStrings.xml><?xml version="1.0" encoding="utf-8"?>
<sst xmlns="http://schemas.openxmlformats.org/spreadsheetml/2006/main" count="121" uniqueCount="78">
  <si>
    <t>MODELO PARA PREENCHIMENTO — Planilha de acertos e faltas</t>
  </si>
  <si>
    <t>AOC — Laboratório de Circuitos — Versão Introdutória — Parte I (Seção 5.5 do enunciado)</t>
  </si>
  <si>
    <t>COMO PREENCHER</t>
  </si>
  <si>
    <t>1. As células em AMARELO são as que você deve preencher. As células em AZUL contêm os dados</t>
  </si>
  <si>
    <t xml:space="preserve">   fornecidos pelo enunciado (endereço e operação) e não devem ser alteradas.</t>
  </si>
  <si>
    <t>2. As colunas endereco_bin, rotulo, indice, deslocamento, resultado e tipo_falta devem ser</t>
  </si>
  <si>
    <t xml:space="preserve">   obtidas por FÓRMULA a partir da coluna endereco_hex. Valores digitados manualmente</t>
  </si>
  <si>
    <t xml:space="preserve">   custam metade da pontuação do critério 4 da rubrica.</t>
  </si>
  <si>
    <t>3. Os cinco primeiros acessos da aba 'Traço Principal' já estão resolvidos como exemplo de</t>
  </si>
  <si>
    <t xml:space="preserve">   formato. Estude as fórmulas dessas linhas e arraste-as para baixo.</t>
  </si>
  <si>
    <t>4. As colunas L a O (L0 a L3) simulam o rótulo residente em cada uma das quatro linhas da cache</t>
  </si>
  <si>
    <t xml:space="preserve">   após cada acesso. É esse bloco auxiliar que permite descobrir o estado ANTERIOR da linha</t>
  </si>
  <si>
    <t xml:space="preserve">   acessada, e portanto classificar cada acesso. A linha 'reset' representa a cache invalidada.</t>
  </si>
  <si>
    <t>5. A cache atende somente leituras, então em toda FALTA o bloco é trazido para a cache e o</t>
  </si>
  <si>
    <t xml:space="preserve">   rótulo da linha passa a ser o do endereço pedido. Não há política de escrita a considerar.</t>
  </si>
  <si>
    <t>6. Preencha a aba 'Resumo' com os indicadores pedidos na Seção 5.5.2 do enunciado.</t>
  </si>
  <si>
    <t>FUNÇÕES ÚTEIS: DEC2BIN, HEX2DEC, BIN2DEC, MID, LEFT, RIGHT, INDEX, IF, AND, COUNTIF.</t>
  </si>
  <si>
    <t>acesso</t>
  </si>
  <si>
    <t>endereco_hex</t>
  </si>
  <si>
    <t>endereco_bin</t>
  </si>
  <si>
    <t>rotulo</t>
  </si>
  <si>
    <t>indice</t>
  </si>
  <si>
    <t>deslocamento</t>
  </si>
  <si>
    <t>valido_antes</t>
  </si>
  <si>
    <t>rotulo_armazenado_antes</t>
  </si>
  <si>
    <t>resultado</t>
  </si>
  <si>
    <t>tipo_falta</t>
  </si>
  <si>
    <t>rotulo_apos</t>
  </si>
  <si>
    <t>L0</t>
  </si>
  <si>
    <t>L1</t>
  </si>
  <si>
    <t>L2</t>
  </si>
  <si>
    <t>L3</t>
  </si>
  <si>
    <t>reset</t>
  </si>
  <si>
    <t>cache invalidada</t>
  </si>
  <si>
    <t>-</t>
  </si>
  <si>
    <t>0x00</t>
  </si>
  <si>
    <t>0x01</t>
  </si>
  <si>
    <t>0x02</t>
  </si>
  <si>
    <t>0x03</t>
  </si>
  <si>
    <t>0x20</t>
  </si>
  <si>
    <t>0x21</t>
  </si>
  <si>
    <t>0x04</t>
  </si>
  <si>
    <t>0x05</t>
  </si>
  <si>
    <t>0x06</t>
  </si>
  <si>
    <t>0x07</t>
  </si>
  <si>
    <t>0x22</t>
  </si>
  <si>
    <t>0x23</t>
  </si>
  <si>
    <t>Colunas L a O (L0..L3): rótulo residente em cada linha da cache APÓS o acesso. São colunas auxiliares de simulação — mantenha-as. Colunas em azul são dados fornecidos pelo enunciado; não alterar.</t>
  </si>
  <si>
    <t>0x10</t>
  </si>
  <si>
    <t>0x18</t>
  </si>
  <si>
    <t>0x28</t>
  </si>
  <si>
    <t>0x38</t>
  </si>
  <si>
    <t>PARÂMETROS DA CACHE (fornecidos — Tabela 7 do enunciado)</t>
  </si>
  <si>
    <t>Organização</t>
  </si>
  <si>
    <t>Mapeamento direto</t>
  </si>
  <si>
    <t>Fixo pelo enunciado.</t>
  </si>
  <si>
    <t>Número de linhas</t>
  </si>
  <si>
    <t>Tamanho do bloco (bytes)</t>
  </si>
  <si>
    <t>Bits de rótulo / índice / deslocamento</t>
  </si>
  <si>
    <t>3 / 2 / 1</t>
  </si>
  <si>
    <t>Demonstrar algebricamente no relatório.</t>
  </si>
  <si>
    <t>Operações atendidas</t>
  </si>
  <si>
    <t>somente leitura</t>
  </si>
  <si>
    <t>Não há política de escrita nesta versão.</t>
  </si>
  <si>
    <t>Tempo de acerto (ciclos)</t>
  </si>
  <si>
    <t>Penalidade de falta (ciclos)</t>
  </si>
  <si>
    <t>INDICADORES — TRAÇO PRINCIPAL</t>
  </si>
  <si>
    <t>Total de acessos</t>
  </si>
  <si>
    <t>Acertos</t>
  </si>
  <si>
    <t>Faltas</t>
  </si>
  <si>
    <t>Faltas compulsórias</t>
  </si>
  <si>
    <t>Faltas por conflito</t>
  </si>
  <si>
    <t>Taxa de acertos</t>
  </si>
  <si>
    <t>Taxa de acertos = acertos / total de acessos</t>
  </si>
  <si>
    <t>Taxa de faltas</t>
  </si>
  <si>
    <t>AMAT (ciclos)</t>
  </si>
  <si>
    <t>AMAT = tempo de acerto + (taxa de faltas × penalidade de falta)</t>
  </si>
  <si>
    <t>INDICADORES — TESTE DE CONFLITO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</si>
</sst>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charset val="1"/>
    </font>
    <font>
      <i/>
      <sz val="10"/>
      <color rgb="FF555555"/>
      <name val="Arial"/>
      <charset val="1"/>
    </font>
    <font>
      <sz val="10"/>
      <name val="Arial"/>
      <charset val="1"/>
    </font>
    <font>
      <b/>
      <sz val="11"/>
      <color rgb="FFF27127"/>
      <name val="Arial"/>
      <charset val="1"/>
    </font>
    <font>
      <b/>
      <sz val="10"/>
      <color rgb="FFFFFFFF"/>
      <name val="Arial"/>
      <charset val="1"/>
    </font>
    <font>
      <sz val="10"/>
      <color rgb="FF0000FF"/>
      <name val="Arial"/>
      <charset val="1"/>
    </font>
    <font>
      <i/>
      <sz val="9"/>
      <color rgb="FF555555"/>
      <name val="Arial"/>
      <charset val="1"/>
    </font>
    <font>
      <b/>
      <sz val="10"/>
      <color rgb="FF0000FF"/>
      <name val="Arial"/>
      <charset val="1"/>
    </font>
    <font>
      <b/>
      <sz val="10"/>
      <name val="Arial"/>
      <charset val="1"/>
    </font>
    <font>
      <sz val="11"/>
      <color rgb="FF3F3F76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B2FBF"/>
        <bgColor rgb="FF993366"/>
      </patternFill>
    </fill>
    <fill>
      <patternFill patternType="solid">
        <fgColor rgb="FFF27127"/>
        <bgColor rgb="FFFF8080"/>
      </patternFill>
    </fill>
    <fill>
      <patternFill patternType="solid">
        <fgColor rgb="FFF2F0F7"/>
        <bgColor rgb="FFFFFFFF"/>
      </patternFill>
    </fill>
    <fill>
      <patternFill patternType="solid">
        <fgColor rgb="FFFFF2CC"/>
        <bgColor rgb="FFF2F0F7"/>
      </patternFill>
    </fill>
    <fill>
      <patternFill patternType="solid">
        <fgColor rgb="FFFFCC99"/>
      </patternFill>
    </fill>
    <fill>
      <patternFill patternType="solid">
        <fgColor rgb="FFFFF2CC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">
    <xf numFmtId="0" fontId="0" fillId="0" borderId="0"/>
    <xf numFmtId="0" fontId="9" fillId="6" borderId="2" applyNumberFormat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6" fillId="0" borderId="0" xfId="0" applyFont="1"/>
    <xf numFmtId="0" fontId="7" fillId="0" borderId="0" xfId="0" applyFont="1" applyAlignment="1">
      <alignment horizontal="center"/>
    </xf>
    <xf numFmtId="0" fontId="8" fillId="5" borderId="0" xfId="0" applyFont="1" applyFill="1" applyAlignment="1">
      <alignment horizontal="center"/>
    </xf>
    <xf numFmtId="0" fontId="9" fillId="6" borderId="2" xfId="1"/>
    <xf numFmtId="9" fontId="8" fillId="5" borderId="0" xfId="0" applyNumberFormat="1" applyFont="1" applyFill="1" applyAlignment="1">
      <alignment horizontal="center"/>
    </xf>
    <xf numFmtId="0" fontId="2" fillId="7" borderId="1" xfId="0" applyFont="1" applyFill="1" applyBorder="1" applyAlignment="1">
      <alignment horizontal="center"/>
    </xf>
  </cellXfs>
  <cellStyles count="2">
    <cellStyle name="Entrada" xfId="1" builtinId="20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27127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6B2FB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F2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1"/>
  <sheetViews>
    <sheetView showGridLines="0" topLeftCell="A10" zoomScale="205" zoomScaleNormal="205" workbookViewId="0">
      <selection activeCell="A7" sqref="A7"/>
    </sheetView>
  </sheetViews>
  <sheetFormatPr defaultColWidth="8.7109375" defaultRowHeight="15" x14ac:dyDescent="0.25"/>
  <cols>
    <col min="1" max="1" width="110" customWidth="1"/>
  </cols>
  <sheetData>
    <row r="1" spans="1:1" x14ac:dyDescent="0.25">
      <c r="A1" t="s">
        <v>0</v>
      </c>
    </row>
    <row r="2" spans="1:1" x14ac:dyDescent="0.25">
      <c r="A2" s="1" t="s">
        <v>1</v>
      </c>
    </row>
    <row r="4" spans="1:1" x14ac:dyDescent="0.25">
      <c r="A4" s="2"/>
    </row>
    <row r="5" spans="1:1" x14ac:dyDescent="0.25">
      <c r="A5" s="3" t="s">
        <v>2</v>
      </c>
    </row>
    <row r="6" spans="1:1" x14ac:dyDescent="0.25">
      <c r="A6" s="2"/>
    </row>
    <row r="7" spans="1:1" x14ac:dyDescent="0.25">
      <c r="A7" s="2" t="s">
        <v>3</v>
      </c>
    </row>
    <row r="8" spans="1:1" x14ac:dyDescent="0.25">
      <c r="A8" s="2" t="s">
        <v>4</v>
      </c>
    </row>
    <row r="9" spans="1:1" x14ac:dyDescent="0.25">
      <c r="A9" s="2"/>
    </row>
    <row r="10" spans="1:1" x14ac:dyDescent="0.25">
      <c r="A10" s="2" t="s">
        <v>5</v>
      </c>
    </row>
    <row r="11" spans="1:1" x14ac:dyDescent="0.25">
      <c r="A11" s="2" t="s">
        <v>6</v>
      </c>
    </row>
    <row r="12" spans="1:1" x14ac:dyDescent="0.25">
      <c r="A12" s="2" t="s">
        <v>7</v>
      </c>
    </row>
    <row r="13" spans="1:1" x14ac:dyDescent="0.25">
      <c r="A13" s="2"/>
    </row>
    <row r="14" spans="1:1" x14ac:dyDescent="0.25">
      <c r="A14" s="2" t="s">
        <v>8</v>
      </c>
    </row>
    <row r="15" spans="1:1" x14ac:dyDescent="0.25">
      <c r="A15" s="2" t="s">
        <v>9</v>
      </c>
    </row>
    <row r="16" spans="1:1" x14ac:dyDescent="0.25">
      <c r="A16" s="2"/>
    </row>
    <row r="17" spans="1:1" x14ac:dyDescent="0.25">
      <c r="A17" s="2" t="s">
        <v>10</v>
      </c>
    </row>
    <row r="18" spans="1:1" x14ac:dyDescent="0.25">
      <c r="A18" s="2" t="s">
        <v>11</v>
      </c>
    </row>
    <row r="19" spans="1:1" x14ac:dyDescent="0.25">
      <c r="A19" s="2" t="s">
        <v>12</v>
      </c>
    </row>
    <row r="20" spans="1:1" x14ac:dyDescent="0.25">
      <c r="A20" s="2"/>
    </row>
    <row r="21" spans="1:1" x14ac:dyDescent="0.25">
      <c r="A21" s="2" t="s">
        <v>13</v>
      </c>
    </row>
    <row r="22" spans="1:1" x14ac:dyDescent="0.25">
      <c r="A22" s="2" t="s">
        <v>14</v>
      </c>
    </row>
    <row r="23" spans="1:1" x14ac:dyDescent="0.25">
      <c r="A23" s="2"/>
    </row>
    <row r="24" spans="1:1" x14ac:dyDescent="0.25">
      <c r="A24" s="2" t="s">
        <v>15</v>
      </c>
    </row>
    <row r="25" spans="1:1" x14ac:dyDescent="0.25">
      <c r="A25" s="2"/>
    </row>
    <row r="26" spans="1:1" x14ac:dyDescent="0.25">
      <c r="A26" s="3" t="s">
        <v>16</v>
      </c>
    </row>
    <row r="31" spans="1:1" x14ac:dyDescent="0.25">
      <c r="A31" s="13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"/>
  <sheetViews>
    <sheetView showGridLines="0"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7" sqref="C7:K7"/>
    </sheetView>
  </sheetViews>
  <sheetFormatPr defaultColWidth="8.7109375" defaultRowHeight="15" x14ac:dyDescent="0.25"/>
  <cols>
    <col min="1" max="1" width="8" customWidth="1"/>
    <col min="2" max="3" width="14" customWidth="1"/>
    <col min="4" max="5" width="9" customWidth="1"/>
    <col min="6" max="6" width="14" customWidth="1"/>
    <col min="7" max="7" width="13" customWidth="1"/>
    <col min="8" max="8" width="24" customWidth="1"/>
    <col min="9" max="9" width="11" customWidth="1"/>
    <col min="10" max="11" width="14" customWidth="1"/>
    <col min="12" max="15" width="6" customWidth="1"/>
  </cols>
  <sheetData>
    <row r="1" spans="1:15" ht="25.5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5" t="s">
        <v>28</v>
      </c>
      <c r="M1" s="5" t="s">
        <v>29</v>
      </c>
      <c r="N1" s="5" t="s">
        <v>30</v>
      </c>
      <c r="O1" s="5" t="s">
        <v>31</v>
      </c>
    </row>
    <row r="2" spans="1:15" x14ac:dyDescent="0.25">
      <c r="A2" s="6" t="s">
        <v>32</v>
      </c>
      <c r="B2" s="6" t="s">
        <v>33</v>
      </c>
      <c r="C2" s="6"/>
      <c r="D2" s="6"/>
      <c r="E2" s="6"/>
      <c r="F2" s="6"/>
      <c r="G2" s="6"/>
      <c r="H2" s="6"/>
      <c r="I2" s="6"/>
      <c r="J2" s="6"/>
      <c r="K2" s="6"/>
      <c r="L2" s="6" t="s">
        <v>34</v>
      </c>
      <c r="M2" s="6" t="s">
        <v>34</v>
      </c>
      <c r="N2" s="6" t="s">
        <v>34</v>
      </c>
      <c r="O2" s="6" t="s">
        <v>34</v>
      </c>
    </row>
    <row r="3" spans="1:15" x14ac:dyDescent="0.25">
      <c r="A3" s="7">
        <v>1</v>
      </c>
      <c r="B3" s="8" t="s">
        <v>35</v>
      </c>
      <c r="C3" s="7" t="str">
        <f>DEC2BIN(HEX2DEC(MID(B3,3,2)),6)</f>
        <v>000000</v>
      </c>
      <c r="D3" s="7" t="str">
        <f>LEFT(C3,3)</f>
        <v>000</v>
      </c>
      <c r="E3" s="7" t="str">
        <f>MID(C3,4,2)</f>
        <v>00</v>
      </c>
      <c r="F3" s="7" t="str">
        <f>RIGHT(C3,1)</f>
        <v>0</v>
      </c>
      <c r="G3" s="7">
        <f>IF(H3="-",0,1)</f>
        <v>0</v>
      </c>
      <c r="H3" s="7" t="str">
        <f>INDEX(L2:O2,1,BIN2DEC(E3)+1)</f>
        <v>-</v>
      </c>
      <c r="I3" s="7" t="str">
        <f>IF(AND(G3=1,H3=D3),"ACERTO","FALTA")</f>
        <v>FALTA</v>
      </c>
      <c r="J3" s="7" t="str">
        <f>IF(I3="ACERTO","",IF(G3=0,"compulsoria","conflito"))</f>
        <v>compulsoria</v>
      </c>
      <c r="K3" s="7" t="str">
        <f>D3</f>
        <v>000</v>
      </c>
      <c r="L3" s="7" t="str">
        <f>IF($E3="00",$K3,L2)</f>
        <v>000</v>
      </c>
      <c r="M3" s="7" t="str">
        <f>IF($E3="01",$K3,M2)</f>
        <v>-</v>
      </c>
      <c r="N3" s="7" t="str">
        <f>IF($E3="10",$K3,N2)</f>
        <v>-</v>
      </c>
      <c r="O3" s="7" t="str">
        <f>IF($E3="11",$K3,O2)</f>
        <v>-</v>
      </c>
    </row>
    <row r="4" spans="1:15" x14ac:dyDescent="0.25">
      <c r="A4" s="7">
        <v>2</v>
      </c>
      <c r="B4" s="8" t="s">
        <v>36</v>
      </c>
      <c r="C4" s="7" t="str">
        <f>DEC2BIN(HEX2DEC(MID(B4,3,2)),6)</f>
        <v>000001</v>
      </c>
      <c r="D4" s="7" t="str">
        <f>LEFT(C4,3)</f>
        <v>000</v>
      </c>
      <c r="E4" s="7" t="str">
        <f>MID(C4,4,2)</f>
        <v>00</v>
      </c>
      <c r="F4" s="7" t="str">
        <f>RIGHT(C4,1)</f>
        <v>1</v>
      </c>
      <c r="G4" s="7">
        <f>IF(H4="-",0,1)</f>
        <v>1</v>
      </c>
      <c r="H4" s="7" t="str">
        <f>INDEX(L3:O3,1,BIN2DEC(E4)+1)</f>
        <v>000</v>
      </c>
      <c r="I4" s="7" t="str">
        <f>IF(AND(G4=1,H4=D4),"ACERTO","FALTA")</f>
        <v>ACERTO</v>
      </c>
      <c r="J4" s="7" t="str">
        <f>IF(I4="ACERTO","",IF(G4=0,"compulsoria","conflito"))</f>
        <v/>
      </c>
      <c r="K4" s="7" t="str">
        <f>D4</f>
        <v>000</v>
      </c>
      <c r="L4" s="7" t="str">
        <f>IF($E4="00",$K4,L3)</f>
        <v>000</v>
      </c>
      <c r="M4" s="7" t="str">
        <f>IF($E4="01",$K4,M3)</f>
        <v>-</v>
      </c>
      <c r="N4" s="7" t="str">
        <f>IF($E4="10",$K4,N3)</f>
        <v>-</v>
      </c>
      <c r="O4" s="7" t="str">
        <f>IF($E4="11",$K4,O3)</f>
        <v>-</v>
      </c>
    </row>
    <row r="5" spans="1:15" x14ac:dyDescent="0.25">
      <c r="A5" s="7">
        <v>3</v>
      </c>
      <c r="B5" s="8" t="s">
        <v>37</v>
      </c>
      <c r="C5" s="7" t="str">
        <f>DEC2BIN(HEX2DEC(MID(B5,3,2)),6)</f>
        <v>000010</v>
      </c>
      <c r="D5" s="7" t="str">
        <f>LEFT(C5,3)</f>
        <v>000</v>
      </c>
      <c r="E5" s="7" t="str">
        <f>MID(C5,4,2)</f>
        <v>01</v>
      </c>
      <c r="F5" s="7" t="str">
        <f>RIGHT(C5,1)</f>
        <v>0</v>
      </c>
      <c r="G5" s="7">
        <f>IF(H5="-",0,1)</f>
        <v>0</v>
      </c>
      <c r="H5" s="7" t="str">
        <f>INDEX(L4:O4,1,BIN2DEC(E5)+1)</f>
        <v>-</v>
      </c>
      <c r="I5" s="7" t="str">
        <f>IF(AND(G5=1,H5=D5),"ACERTO","FALTA")</f>
        <v>FALTA</v>
      </c>
      <c r="J5" s="7" t="str">
        <f>IF(I5="ACERTO","",IF(G5=0,"compulsoria","conflito"))</f>
        <v>compulsoria</v>
      </c>
      <c r="K5" s="7" t="str">
        <f>D5</f>
        <v>000</v>
      </c>
      <c r="L5" s="7" t="str">
        <f>IF($E5="00",$K5,L4)</f>
        <v>000</v>
      </c>
      <c r="M5" s="7" t="str">
        <f>IF($E5="01",$K5,M4)</f>
        <v>000</v>
      </c>
      <c r="N5" s="7" t="str">
        <f>IF($E5="10",$K5,N4)</f>
        <v>-</v>
      </c>
      <c r="O5" s="7" t="str">
        <f>IF($E5="11",$K5,O4)</f>
        <v>-</v>
      </c>
    </row>
    <row r="6" spans="1:15" x14ac:dyDescent="0.25">
      <c r="A6" s="7">
        <v>4</v>
      </c>
      <c r="B6" s="8" t="s">
        <v>38</v>
      </c>
      <c r="C6" s="7" t="str">
        <f>DEC2BIN(HEX2DEC(MID(B6,3,2)),6)</f>
        <v>000011</v>
      </c>
      <c r="D6" s="7" t="str">
        <f>LEFT(C6,3)</f>
        <v>000</v>
      </c>
      <c r="E6" s="7" t="str">
        <f>MID(C6,4,2)</f>
        <v>01</v>
      </c>
      <c r="F6" s="7" t="str">
        <f>RIGHT(C6,1)</f>
        <v>1</v>
      </c>
      <c r="G6" s="7">
        <f>IF(H6="-",0,1)</f>
        <v>1</v>
      </c>
      <c r="H6" s="7" t="str">
        <f>INDEX(L5:O5,1,BIN2DEC(E6)+1)</f>
        <v>000</v>
      </c>
      <c r="I6" s="7" t="str">
        <f>IF(AND(G6=1,H6=D6),"ACERTO","FALTA")</f>
        <v>ACERTO</v>
      </c>
      <c r="J6" s="7" t="str">
        <f>IF(I6="ACERTO","",IF(G6=0,"compulsoria","conflito"))</f>
        <v/>
      </c>
      <c r="K6" s="7" t="str">
        <f>D6</f>
        <v>000</v>
      </c>
      <c r="L6" s="7" t="str">
        <f>IF($E6="00",$K6,L5)</f>
        <v>000</v>
      </c>
      <c r="M6" s="7" t="str">
        <f>IF($E6="01",$K6,M5)</f>
        <v>000</v>
      </c>
      <c r="N6" s="7" t="str">
        <f>IF($E6="10",$K6,N5)</f>
        <v>-</v>
      </c>
      <c r="O6" s="7" t="str">
        <f>IF($E6="11",$K6,O5)</f>
        <v>-</v>
      </c>
    </row>
    <row r="7" spans="1:15" x14ac:dyDescent="0.25">
      <c r="A7" s="7">
        <v>5</v>
      </c>
      <c r="B7" s="8" t="s">
        <v>35</v>
      </c>
      <c r="C7" s="15" t="str">
        <f>DEC2BIN(HEX2DEC(MID(B7,3,2)),6)</f>
        <v>000000</v>
      </c>
      <c r="D7" s="15" t="str">
        <f>LEFT(C7,3)</f>
        <v>000</v>
      </c>
      <c r="E7" s="15" t="str">
        <f>MID(C7,4,2)</f>
        <v>00</v>
      </c>
      <c r="F7" s="15" t="str">
        <f>RIGHT(C7,1)</f>
        <v>0</v>
      </c>
      <c r="G7" s="15">
        <f>IF(H7="-",0,1)</f>
        <v>1</v>
      </c>
      <c r="H7" s="15" t="str">
        <f>INDEX(L6:O6,1,BIN2DEC(E7)+1)</f>
        <v>000</v>
      </c>
      <c r="I7" s="15" t="str">
        <f>IF(AND(G7=1,H7=D7),"ACERTO","FALTA")</f>
        <v>ACERTO</v>
      </c>
      <c r="J7" s="15" t="str">
        <f>IF(I7="ACERTO","",IF(G7=0,"compulsoria","conflito"))</f>
        <v/>
      </c>
      <c r="K7" s="15" t="str">
        <f>D7</f>
        <v>000</v>
      </c>
      <c r="L7" s="7" t="str">
        <f>IF($E7="00",$K7,L6)</f>
        <v>000</v>
      </c>
      <c r="M7" s="7" t="str">
        <f>IF($E7="01",$K7,M6)</f>
        <v>000</v>
      </c>
      <c r="N7" s="7" t="str">
        <f>IF($E7="10",$K7,N6)</f>
        <v>-</v>
      </c>
      <c r="O7" s="7" t="str">
        <f>IF($E7="11",$K7,O6)</f>
        <v>-</v>
      </c>
    </row>
    <row r="8" spans="1:15" x14ac:dyDescent="0.25">
      <c r="A8" s="7">
        <v>6</v>
      </c>
      <c r="B8" s="8" t="s">
        <v>39</v>
      </c>
      <c r="C8" s="15" t="str">
        <f>DEC2BIN(HEX2DEC(MID(B8,3,2)),6)</f>
        <v>100000</v>
      </c>
      <c r="D8" s="9" t="str">
        <f>LEFT(C8,3)</f>
        <v>100</v>
      </c>
      <c r="E8" s="9" t="str">
        <f>MID(C8,4,2)</f>
        <v>00</v>
      </c>
      <c r="F8" s="9" t="str">
        <f>RIGHT(C8,1)</f>
        <v>0</v>
      </c>
      <c r="G8" s="15">
        <f t="shared" ref="G8:G18" si="0">IF(H8="-",0,1)</f>
        <v>1</v>
      </c>
      <c r="H8" s="15" t="str">
        <f t="shared" ref="H8:H18" si="1">INDEX(L7:O7,1,BIN2DEC(E8)+1)</f>
        <v>000</v>
      </c>
      <c r="I8" s="15" t="str">
        <f t="shared" ref="I8:I18" si="2">IF(AND(G8=1,H8=D8),"ACERTO","FALTA")</f>
        <v>FALTA</v>
      </c>
      <c r="J8" s="15" t="str">
        <f t="shared" ref="J8:J18" si="3">IF(I8="ACERTO","",IF(G8=0,"compulsoria","conflito"))</f>
        <v>conflito</v>
      </c>
      <c r="K8" s="9" t="str">
        <f>D8</f>
        <v>100</v>
      </c>
      <c r="L8" s="7" t="str">
        <f t="shared" ref="L8:L18" si="4">IF($E8="00",$K8,L7)</f>
        <v>100</v>
      </c>
      <c r="M8" s="7" t="str">
        <f t="shared" ref="M8:M18" si="5">IF($E8="01",$K8,M7)</f>
        <v>000</v>
      </c>
      <c r="N8" s="7" t="str">
        <f t="shared" ref="N8:N18" si="6">IF($E8="10",$K8,N7)</f>
        <v>-</v>
      </c>
      <c r="O8" s="7" t="str">
        <f t="shared" ref="O8:O18" si="7">IF($E8="11",$K8,O7)</f>
        <v>-</v>
      </c>
    </row>
    <row r="9" spans="1:15" x14ac:dyDescent="0.25">
      <c r="A9" s="7">
        <v>7</v>
      </c>
      <c r="B9" s="8" t="s">
        <v>40</v>
      </c>
      <c r="C9" s="15" t="str">
        <f t="shared" ref="C9:C18" si="8">DEC2BIN(HEX2DEC(MID(B9,3,2)),6)</f>
        <v>100001</v>
      </c>
      <c r="D9" s="9" t="str">
        <f t="shared" ref="D9:D18" si="9">LEFT(C9,3)</f>
        <v>100</v>
      </c>
      <c r="E9" s="9" t="str">
        <f t="shared" ref="E9:E18" si="10">MID(C9,4,2)</f>
        <v>00</v>
      </c>
      <c r="F9" s="9" t="str">
        <f t="shared" ref="F9:F18" si="11">RIGHT(C9,1)</f>
        <v>1</v>
      </c>
      <c r="G9" s="15">
        <f t="shared" si="0"/>
        <v>1</v>
      </c>
      <c r="H9" s="15" t="str">
        <f t="shared" si="1"/>
        <v>100</v>
      </c>
      <c r="I9" s="15" t="str">
        <f t="shared" si="2"/>
        <v>ACERTO</v>
      </c>
      <c r="J9" s="15" t="str">
        <f t="shared" si="3"/>
        <v/>
      </c>
      <c r="K9" s="9" t="str">
        <f t="shared" ref="K9:K18" si="12">D9</f>
        <v>100</v>
      </c>
      <c r="L9" s="7" t="str">
        <f t="shared" si="4"/>
        <v>100</v>
      </c>
      <c r="M9" s="7" t="str">
        <f t="shared" si="5"/>
        <v>000</v>
      </c>
      <c r="N9" s="7" t="str">
        <f t="shared" si="6"/>
        <v>-</v>
      </c>
      <c r="O9" s="7" t="str">
        <f t="shared" si="7"/>
        <v>-</v>
      </c>
    </row>
    <row r="10" spans="1:15" x14ac:dyDescent="0.25">
      <c r="A10" s="7">
        <v>8</v>
      </c>
      <c r="B10" s="8" t="s">
        <v>35</v>
      </c>
      <c r="C10" s="15" t="str">
        <f t="shared" si="8"/>
        <v>000000</v>
      </c>
      <c r="D10" s="9" t="str">
        <f t="shared" si="9"/>
        <v>000</v>
      </c>
      <c r="E10" s="9" t="str">
        <f t="shared" si="10"/>
        <v>00</v>
      </c>
      <c r="F10" s="9" t="str">
        <f t="shared" si="11"/>
        <v>0</v>
      </c>
      <c r="G10" s="15">
        <f t="shared" si="0"/>
        <v>1</v>
      </c>
      <c r="H10" s="15" t="str">
        <f t="shared" si="1"/>
        <v>100</v>
      </c>
      <c r="I10" s="15" t="str">
        <f t="shared" si="2"/>
        <v>FALTA</v>
      </c>
      <c r="J10" s="15" t="str">
        <f t="shared" si="3"/>
        <v>conflito</v>
      </c>
      <c r="K10" s="9" t="str">
        <f t="shared" si="12"/>
        <v>000</v>
      </c>
      <c r="L10" s="7" t="str">
        <f t="shared" si="4"/>
        <v>000</v>
      </c>
      <c r="M10" s="7" t="str">
        <f t="shared" si="5"/>
        <v>000</v>
      </c>
      <c r="N10" s="7" t="str">
        <f t="shared" si="6"/>
        <v>-</v>
      </c>
      <c r="O10" s="7" t="str">
        <f t="shared" si="7"/>
        <v>-</v>
      </c>
    </row>
    <row r="11" spans="1:15" x14ac:dyDescent="0.25">
      <c r="A11" s="7">
        <v>9</v>
      </c>
      <c r="B11" s="8" t="s">
        <v>41</v>
      </c>
      <c r="C11" s="15" t="str">
        <f t="shared" si="8"/>
        <v>000100</v>
      </c>
      <c r="D11" s="9" t="str">
        <f t="shared" si="9"/>
        <v>000</v>
      </c>
      <c r="E11" s="9" t="str">
        <f t="shared" si="10"/>
        <v>10</v>
      </c>
      <c r="F11" s="9" t="str">
        <f t="shared" si="11"/>
        <v>0</v>
      </c>
      <c r="G11" s="15">
        <f t="shared" si="0"/>
        <v>0</v>
      </c>
      <c r="H11" s="15" t="str">
        <f t="shared" si="1"/>
        <v>-</v>
      </c>
      <c r="I11" s="15" t="str">
        <f t="shared" si="2"/>
        <v>FALTA</v>
      </c>
      <c r="J11" s="15" t="str">
        <f t="shared" si="3"/>
        <v>compulsoria</v>
      </c>
      <c r="K11" s="9" t="str">
        <f t="shared" si="12"/>
        <v>000</v>
      </c>
      <c r="L11" s="7" t="str">
        <f t="shared" si="4"/>
        <v>000</v>
      </c>
      <c r="M11" s="7" t="str">
        <f t="shared" si="5"/>
        <v>000</v>
      </c>
      <c r="N11" s="7" t="str">
        <f t="shared" si="6"/>
        <v>000</v>
      </c>
      <c r="O11" s="7" t="str">
        <f t="shared" si="7"/>
        <v>-</v>
      </c>
    </row>
    <row r="12" spans="1:15" x14ac:dyDescent="0.25">
      <c r="A12" s="7">
        <v>10</v>
      </c>
      <c r="B12" s="8" t="s">
        <v>42</v>
      </c>
      <c r="C12" s="15" t="str">
        <f t="shared" si="8"/>
        <v>000101</v>
      </c>
      <c r="D12" s="9" t="str">
        <f t="shared" si="9"/>
        <v>000</v>
      </c>
      <c r="E12" s="9" t="str">
        <f t="shared" si="10"/>
        <v>10</v>
      </c>
      <c r="F12" s="9" t="str">
        <f t="shared" si="11"/>
        <v>1</v>
      </c>
      <c r="G12" s="15">
        <f t="shared" si="0"/>
        <v>1</v>
      </c>
      <c r="H12" s="15" t="str">
        <f t="shared" si="1"/>
        <v>000</v>
      </c>
      <c r="I12" s="15" t="str">
        <f t="shared" si="2"/>
        <v>ACERTO</v>
      </c>
      <c r="J12" s="15" t="str">
        <f t="shared" si="3"/>
        <v/>
      </c>
      <c r="K12" s="9" t="str">
        <f t="shared" si="12"/>
        <v>000</v>
      </c>
      <c r="L12" s="7" t="str">
        <f t="shared" si="4"/>
        <v>000</v>
      </c>
      <c r="M12" s="7" t="str">
        <f t="shared" si="5"/>
        <v>000</v>
      </c>
      <c r="N12" s="7" t="str">
        <f t="shared" si="6"/>
        <v>000</v>
      </c>
      <c r="O12" s="7" t="str">
        <f t="shared" si="7"/>
        <v>-</v>
      </c>
    </row>
    <row r="13" spans="1:15" x14ac:dyDescent="0.25">
      <c r="A13" s="7">
        <v>11</v>
      </c>
      <c r="B13" s="8" t="s">
        <v>43</v>
      </c>
      <c r="C13" s="15" t="str">
        <f t="shared" si="8"/>
        <v>000110</v>
      </c>
      <c r="D13" s="9" t="str">
        <f t="shared" si="9"/>
        <v>000</v>
      </c>
      <c r="E13" s="9" t="str">
        <f t="shared" si="10"/>
        <v>11</v>
      </c>
      <c r="F13" s="9" t="str">
        <f t="shared" si="11"/>
        <v>0</v>
      </c>
      <c r="G13" s="15">
        <f t="shared" si="0"/>
        <v>0</v>
      </c>
      <c r="H13" s="15" t="str">
        <f t="shared" si="1"/>
        <v>-</v>
      </c>
      <c r="I13" s="15" t="str">
        <f t="shared" si="2"/>
        <v>FALTA</v>
      </c>
      <c r="J13" s="15" t="str">
        <f t="shared" si="3"/>
        <v>compulsoria</v>
      </c>
      <c r="K13" s="9" t="str">
        <f t="shared" si="12"/>
        <v>000</v>
      </c>
      <c r="L13" s="7" t="str">
        <f t="shared" si="4"/>
        <v>000</v>
      </c>
      <c r="M13" s="7" t="str">
        <f t="shared" si="5"/>
        <v>000</v>
      </c>
      <c r="N13" s="7" t="str">
        <f t="shared" si="6"/>
        <v>000</v>
      </c>
      <c r="O13" s="7" t="str">
        <f t="shared" si="7"/>
        <v>000</v>
      </c>
    </row>
    <row r="14" spans="1:15" x14ac:dyDescent="0.25">
      <c r="A14" s="7">
        <v>12</v>
      </c>
      <c r="B14" s="8" t="s">
        <v>44</v>
      </c>
      <c r="C14" s="15" t="str">
        <f t="shared" si="8"/>
        <v>000111</v>
      </c>
      <c r="D14" s="9" t="str">
        <f t="shared" si="9"/>
        <v>000</v>
      </c>
      <c r="E14" s="9" t="str">
        <f t="shared" si="10"/>
        <v>11</v>
      </c>
      <c r="F14" s="9" t="str">
        <f t="shared" si="11"/>
        <v>1</v>
      </c>
      <c r="G14" s="15">
        <f t="shared" si="0"/>
        <v>1</v>
      </c>
      <c r="H14" s="15" t="str">
        <f t="shared" si="1"/>
        <v>000</v>
      </c>
      <c r="I14" s="15" t="str">
        <f t="shared" si="2"/>
        <v>ACERTO</v>
      </c>
      <c r="J14" s="15" t="str">
        <f t="shared" si="3"/>
        <v/>
      </c>
      <c r="K14" s="9" t="str">
        <f t="shared" si="12"/>
        <v>000</v>
      </c>
      <c r="L14" s="7" t="str">
        <f t="shared" si="4"/>
        <v>000</v>
      </c>
      <c r="M14" s="7" t="str">
        <f t="shared" si="5"/>
        <v>000</v>
      </c>
      <c r="N14" s="7" t="str">
        <f t="shared" si="6"/>
        <v>000</v>
      </c>
      <c r="O14" s="7" t="str">
        <f t="shared" si="7"/>
        <v>000</v>
      </c>
    </row>
    <row r="15" spans="1:15" x14ac:dyDescent="0.25">
      <c r="A15" s="7">
        <v>13</v>
      </c>
      <c r="B15" s="8" t="s">
        <v>45</v>
      </c>
      <c r="C15" s="15" t="str">
        <f t="shared" si="8"/>
        <v>100010</v>
      </c>
      <c r="D15" s="9" t="str">
        <f t="shared" si="9"/>
        <v>100</v>
      </c>
      <c r="E15" s="9" t="str">
        <f t="shared" si="10"/>
        <v>01</v>
      </c>
      <c r="F15" s="9" t="str">
        <f t="shared" si="11"/>
        <v>0</v>
      </c>
      <c r="G15" s="15">
        <f t="shared" si="0"/>
        <v>1</v>
      </c>
      <c r="H15" s="15" t="str">
        <f t="shared" si="1"/>
        <v>000</v>
      </c>
      <c r="I15" s="15" t="str">
        <f t="shared" si="2"/>
        <v>FALTA</v>
      </c>
      <c r="J15" s="15" t="str">
        <f t="shared" si="3"/>
        <v>conflito</v>
      </c>
      <c r="K15" s="9" t="str">
        <f t="shared" si="12"/>
        <v>100</v>
      </c>
      <c r="L15" s="7" t="str">
        <f t="shared" si="4"/>
        <v>000</v>
      </c>
      <c r="M15" s="7" t="str">
        <f t="shared" si="5"/>
        <v>100</v>
      </c>
      <c r="N15" s="7" t="str">
        <f t="shared" si="6"/>
        <v>000</v>
      </c>
      <c r="O15" s="7" t="str">
        <f t="shared" si="7"/>
        <v>000</v>
      </c>
    </row>
    <row r="16" spans="1:15" x14ac:dyDescent="0.25">
      <c r="A16" s="7">
        <v>14</v>
      </c>
      <c r="B16" s="8" t="s">
        <v>46</v>
      </c>
      <c r="C16" s="15" t="str">
        <f t="shared" si="8"/>
        <v>100011</v>
      </c>
      <c r="D16" s="9" t="str">
        <f t="shared" si="9"/>
        <v>100</v>
      </c>
      <c r="E16" s="9" t="str">
        <f t="shared" si="10"/>
        <v>01</v>
      </c>
      <c r="F16" s="9" t="str">
        <f t="shared" si="11"/>
        <v>1</v>
      </c>
      <c r="G16" s="15">
        <f t="shared" si="0"/>
        <v>1</v>
      </c>
      <c r="H16" s="15" t="str">
        <f t="shared" si="1"/>
        <v>100</v>
      </c>
      <c r="I16" s="15" t="str">
        <f t="shared" si="2"/>
        <v>ACERTO</v>
      </c>
      <c r="J16" s="15" t="str">
        <f t="shared" si="3"/>
        <v/>
      </c>
      <c r="K16" s="9" t="str">
        <f t="shared" si="12"/>
        <v>100</v>
      </c>
      <c r="L16" s="7" t="str">
        <f t="shared" si="4"/>
        <v>000</v>
      </c>
      <c r="M16" s="7" t="str">
        <f t="shared" si="5"/>
        <v>100</v>
      </c>
      <c r="N16" s="7" t="str">
        <f t="shared" si="6"/>
        <v>000</v>
      </c>
      <c r="O16" s="7" t="str">
        <f t="shared" si="7"/>
        <v>000</v>
      </c>
    </row>
    <row r="17" spans="1:15" x14ac:dyDescent="0.25">
      <c r="A17" s="7">
        <v>15</v>
      </c>
      <c r="B17" s="8" t="s">
        <v>37</v>
      </c>
      <c r="C17" s="15" t="str">
        <f t="shared" si="8"/>
        <v>000010</v>
      </c>
      <c r="D17" s="9" t="str">
        <f t="shared" si="9"/>
        <v>000</v>
      </c>
      <c r="E17" s="9" t="str">
        <f t="shared" si="10"/>
        <v>01</v>
      </c>
      <c r="F17" s="9" t="str">
        <f t="shared" si="11"/>
        <v>0</v>
      </c>
      <c r="G17" s="15">
        <f t="shared" si="0"/>
        <v>1</v>
      </c>
      <c r="H17" s="15" t="str">
        <f t="shared" si="1"/>
        <v>100</v>
      </c>
      <c r="I17" s="15" t="str">
        <f t="shared" si="2"/>
        <v>FALTA</v>
      </c>
      <c r="J17" s="15" t="str">
        <f t="shared" si="3"/>
        <v>conflito</v>
      </c>
      <c r="K17" s="9" t="str">
        <f t="shared" si="12"/>
        <v>000</v>
      </c>
      <c r="L17" s="7" t="str">
        <f t="shared" si="4"/>
        <v>000</v>
      </c>
      <c r="M17" s="7" t="str">
        <f t="shared" si="5"/>
        <v>000</v>
      </c>
      <c r="N17" s="7" t="str">
        <f t="shared" si="6"/>
        <v>000</v>
      </c>
      <c r="O17" s="7" t="str">
        <f t="shared" si="7"/>
        <v>000</v>
      </c>
    </row>
    <row r="18" spans="1:15" x14ac:dyDescent="0.25">
      <c r="A18" s="7">
        <v>16</v>
      </c>
      <c r="B18" s="8" t="s">
        <v>38</v>
      </c>
      <c r="C18" s="15" t="str">
        <f t="shared" si="8"/>
        <v>000011</v>
      </c>
      <c r="D18" s="9" t="str">
        <f t="shared" si="9"/>
        <v>000</v>
      </c>
      <c r="E18" s="9" t="str">
        <f t="shared" si="10"/>
        <v>01</v>
      </c>
      <c r="F18" s="9" t="str">
        <f t="shared" si="11"/>
        <v>1</v>
      </c>
      <c r="G18" s="15">
        <f t="shared" si="0"/>
        <v>1</v>
      </c>
      <c r="H18" s="15" t="str">
        <f t="shared" si="1"/>
        <v>000</v>
      </c>
      <c r="I18" s="15" t="str">
        <f t="shared" si="2"/>
        <v>ACERTO</v>
      </c>
      <c r="J18" s="15" t="str">
        <f t="shared" si="3"/>
        <v/>
      </c>
      <c r="K18" s="9" t="str">
        <f t="shared" si="12"/>
        <v>000</v>
      </c>
      <c r="L18" s="7" t="str">
        <f t="shared" si="4"/>
        <v>000</v>
      </c>
      <c r="M18" s="7" t="str">
        <f t="shared" si="5"/>
        <v>000</v>
      </c>
      <c r="N18" s="7" t="str">
        <f t="shared" si="6"/>
        <v>000</v>
      </c>
      <c r="O18" s="7" t="str">
        <f t="shared" si="7"/>
        <v>000</v>
      </c>
    </row>
    <row r="20" spans="1:15" x14ac:dyDescent="0.25">
      <c r="A20" s="10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showGridLines="0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H17" sqref="H17"/>
    </sheetView>
  </sheetViews>
  <sheetFormatPr defaultColWidth="8.7109375" defaultRowHeight="15" x14ac:dyDescent="0.25"/>
  <cols>
    <col min="1" max="1" width="8" customWidth="1"/>
    <col min="2" max="2" width="14" customWidth="1"/>
    <col min="3" max="3" width="13.5703125" bestFit="1" customWidth="1"/>
    <col min="4" max="5" width="9" customWidth="1"/>
    <col min="6" max="6" width="14" customWidth="1"/>
    <col min="7" max="7" width="13" customWidth="1"/>
    <col min="8" max="8" width="24" customWidth="1"/>
    <col min="9" max="9" width="11" customWidth="1"/>
    <col min="10" max="11" width="14" customWidth="1"/>
    <col min="12" max="15" width="6" customWidth="1"/>
  </cols>
  <sheetData>
    <row r="1" spans="1:15" ht="25.5" x14ac:dyDescent="0.2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23</v>
      </c>
      <c r="H1" s="4" t="s">
        <v>24</v>
      </c>
      <c r="I1" s="4" t="s">
        <v>25</v>
      </c>
      <c r="J1" s="4" t="s">
        <v>26</v>
      </c>
      <c r="K1" s="4" t="s">
        <v>27</v>
      </c>
      <c r="L1" s="5" t="s">
        <v>28</v>
      </c>
      <c r="M1" s="5" t="s">
        <v>29</v>
      </c>
      <c r="N1" s="5" t="s">
        <v>30</v>
      </c>
      <c r="O1" s="5" t="s">
        <v>31</v>
      </c>
    </row>
    <row r="2" spans="1:15" x14ac:dyDescent="0.25">
      <c r="A2" s="6" t="s">
        <v>32</v>
      </c>
      <c r="B2" s="6" t="s">
        <v>33</v>
      </c>
      <c r="C2" s="6"/>
      <c r="D2" s="6"/>
      <c r="E2" s="6"/>
      <c r="F2" s="6"/>
      <c r="G2" s="6"/>
      <c r="H2" s="6"/>
      <c r="I2" s="6"/>
      <c r="J2" s="6"/>
      <c r="K2" s="6"/>
      <c r="L2" s="6" t="s">
        <v>34</v>
      </c>
      <c r="M2" s="6" t="s">
        <v>34</v>
      </c>
      <c r="N2" s="6" t="s">
        <v>34</v>
      </c>
      <c r="O2" s="6" t="s">
        <v>34</v>
      </c>
    </row>
    <row r="3" spans="1:15" x14ac:dyDescent="0.25">
      <c r="A3" s="7">
        <v>1</v>
      </c>
      <c r="B3" s="8" t="s">
        <v>48</v>
      </c>
      <c r="C3" s="9" t="str">
        <f>TEXT(HEX2BIN(RIGHT(B6, 2)), "000000")</f>
        <v>111000</v>
      </c>
      <c r="D3" s="9" t="str">
        <f>LEFT(C3,3)</f>
        <v>111</v>
      </c>
      <c r="E3" s="9" t="str">
        <f>MID(C3,4,2)</f>
        <v>00</v>
      </c>
      <c r="F3" s="9" t="str">
        <f>RIGHT(C3,1)</f>
        <v>0</v>
      </c>
      <c r="G3" s="9"/>
      <c r="H3" s="9"/>
      <c r="I3" s="9" t="str">
        <f>IF(AND(G3=1, H3=D3), "ACERTO", "FALTA")</f>
        <v>FALTA</v>
      </c>
      <c r="J3" s="9" t="str">
        <f>IF(I3="ACERTO", "", IF(G3=0, "compulsoria", "conflito"))</f>
        <v>compulsoria</v>
      </c>
      <c r="K3" s="9"/>
      <c r="L3" s="9"/>
      <c r="M3" s="9"/>
      <c r="N3" s="9"/>
      <c r="O3" s="9"/>
    </row>
    <row r="4" spans="1:15" x14ac:dyDescent="0.25">
      <c r="A4" s="7">
        <v>2</v>
      </c>
      <c r="B4" s="8" t="s">
        <v>49</v>
      </c>
      <c r="C4" s="9" t="str">
        <f>TEXT(HEX2BIN(RIGHT(B4, 2)), "000000")</f>
        <v>011000</v>
      </c>
      <c r="D4" s="9" t="str">
        <f>LEFT(C4,3)</f>
        <v>011</v>
      </c>
      <c r="E4" s="9" t="str">
        <f t="shared" ref="E4:E6" si="0">MID(C4,4,2)</f>
        <v>00</v>
      </c>
      <c r="F4" s="9" t="str">
        <f t="shared" ref="F4:F6" si="1">RIGHT(C4,1)</f>
        <v>0</v>
      </c>
      <c r="G4" s="9"/>
      <c r="H4" s="9"/>
      <c r="I4" s="9" t="str">
        <f t="shared" ref="I4:I6" si="2">IF(AND(G4=1, H4=D4), "ACERTO", "FALTA")</f>
        <v>FALTA</v>
      </c>
      <c r="J4" s="9" t="str">
        <f t="shared" ref="J4:J6" si="3">IF(I4="ACERTO", "", IF(G4=0, "compulsoria", "conflito"))</f>
        <v>compulsoria</v>
      </c>
      <c r="K4" s="9"/>
      <c r="L4" s="9"/>
      <c r="M4" s="9"/>
      <c r="N4" s="9"/>
      <c r="O4" s="9"/>
    </row>
    <row r="5" spans="1:15" x14ac:dyDescent="0.25">
      <c r="A5" s="7">
        <v>3</v>
      </c>
      <c r="B5" s="8" t="s">
        <v>50</v>
      </c>
      <c r="C5" s="9" t="str">
        <f t="shared" ref="C5:C6" si="4">TEXT(HEX2BIN(RIGHT(B5, 2)), "000000")</f>
        <v>101000</v>
      </c>
      <c r="D5" s="9" t="str">
        <f t="shared" ref="D5:D6" si="5">LEFT(C5,3)</f>
        <v>101</v>
      </c>
      <c r="E5" s="9" t="str">
        <f t="shared" si="0"/>
        <v>00</v>
      </c>
      <c r="F5" s="9" t="str">
        <f t="shared" si="1"/>
        <v>0</v>
      </c>
      <c r="G5" s="9"/>
      <c r="H5" s="9"/>
      <c r="I5" s="9" t="str">
        <f t="shared" si="2"/>
        <v>FALTA</v>
      </c>
      <c r="J5" s="9" t="str">
        <f t="shared" si="3"/>
        <v>compulsoria</v>
      </c>
      <c r="K5" s="9"/>
      <c r="L5" s="9"/>
      <c r="M5" s="9"/>
      <c r="N5" s="9"/>
      <c r="O5" s="9"/>
    </row>
    <row r="6" spans="1:15" x14ac:dyDescent="0.25">
      <c r="A6" s="7">
        <v>4</v>
      </c>
      <c r="B6" s="8" t="s">
        <v>51</v>
      </c>
      <c r="C6" s="9" t="str">
        <f t="shared" si="4"/>
        <v>111000</v>
      </c>
      <c r="D6" s="9" t="str">
        <f t="shared" si="5"/>
        <v>111</v>
      </c>
      <c r="E6" s="9" t="str">
        <f t="shared" si="0"/>
        <v>00</v>
      </c>
      <c r="F6" s="9" t="str">
        <f t="shared" si="1"/>
        <v>0</v>
      </c>
      <c r="G6" s="9"/>
      <c r="H6" s="9"/>
      <c r="I6" s="9" t="str">
        <f t="shared" si="2"/>
        <v>FALTA</v>
      </c>
      <c r="J6" s="9" t="str">
        <f t="shared" si="3"/>
        <v>compulsoria</v>
      </c>
      <c r="K6" s="9"/>
      <c r="L6" s="9"/>
      <c r="M6" s="9"/>
      <c r="N6" s="9"/>
      <c r="O6" s="9"/>
    </row>
    <row r="8" spans="1:15" x14ac:dyDescent="0.25">
      <c r="A8" s="10" t="s">
        <v>47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"/>
  <sheetViews>
    <sheetView showGridLines="0" tabSelected="1" topLeftCell="A7" zoomScale="145" zoomScaleNormal="145" workbookViewId="0">
      <selection activeCell="B30" sqref="B30"/>
    </sheetView>
  </sheetViews>
  <sheetFormatPr defaultColWidth="8.7109375" defaultRowHeight="15" x14ac:dyDescent="0.25"/>
  <cols>
    <col min="1" max="1" width="46" customWidth="1"/>
    <col min="2" max="3" width="16" customWidth="1"/>
    <col min="4" max="4" width="52" customWidth="1"/>
  </cols>
  <sheetData>
    <row r="1" spans="1:4" ht="25.5" x14ac:dyDescent="0.25">
      <c r="A1" s="4" t="s">
        <v>52</v>
      </c>
      <c r="B1" s="4"/>
      <c r="C1" s="4"/>
      <c r="D1" s="4"/>
    </row>
    <row r="2" spans="1:4" x14ac:dyDescent="0.25">
      <c r="A2" s="2" t="s">
        <v>53</v>
      </c>
      <c r="B2" s="11" t="s">
        <v>54</v>
      </c>
      <c r="D2" s="10" t="s">
        <v>55</v>
      </c>
    </row>
    <row r="3" spans="1:4" x14ac:dyDescent="0.25">
      <c r="A3" s="2" t="s">
        <v>56</v>
      </c>
      <c r="B3" s="11">
        <v>4</v>
      </c>
      <c r="D3" s="10" t="s">
        <v>55</v>
      </c>
    </row>
    <row r="4" spans="1:4" x14ac:dyDescent="0.25">
      <c r="A4" s="2" t="s">
        <v>57</v>
      </c>
      <c r="B4" s="11">
        <v>2</v>
      </c>
      <c r="D4" s="10" t="s">
        <v>55</v>
      </c>
    </row>
    <row r="5" spans="1:4" x14ac:dyDescent="0.25">
      <c r="A5" s="2" t="s">
        <v>58</v>
      </c>
      <c r="B5" s="11" t="s">
        <v>59</v>
      </c>
      <c r="D5" s="10" t="s">
        <v>60</v>
      </c>
    </row>
    <row r="6" spans="1:4" x14ac:dyDescent="0.25">
      <c r="A6" s="2" t="s">
        <v>61</v>
      </c>
      <c r="B6" s="11" t="s">
        <v>62</v>
      </c>
      <c r="D6" s="10" t="s">
        <v>63</v>
      </c>
    </row>
    <row r="7" spans="1:4" x14ac:dyDescent="0.25">
      <c r="A7" s="2" t="s">
        <v>64</v>
      </c>
      <c r="B7" s="11">
        <v>1</v>
      </c>
      <c r="D7" s="10" t="s">
        <v>55</v>
      </c>
    </row>
    <row r="8" spans="1:4" x14ac:dyDescent="0.25">
      <c r="A8" s="2" t="s">
        <v>65</v>
      </c>
      <c r="B8" s="11">
        <v>8</v>
      </c>
      <c r="D8" s="10" t="s">
        <v>55</v>
      </c>
    </row>
    <row r="10" spans="1:4" x14ac:dyDescent="0.25">
      <c r="A10" s="4" t="s">
        <v>66</v>
      </c>
      <c r="B10" s="4"/>
      <c r="C10" s="4"/>
      <c r="D10" s="4"/>
    </row>
    <row r="11" spans="1:4" x14ac:dyDescent="0.25">
      <c r="A11" s="2" t="s">
        <v>67</v>
      </c>
      <c r="B11" s="12">
        <v>8</v>
      </c>
    </row>
    <row r="12" spans="1:4" x14ac:dyDescent="0.25">
      <c r="A12" s="2" t="s">
        <v>68</v>
      </c>
      <c r="B12" s="12">
        <v>8</v>
      </c>
    </row>
    <row r="13" spans="1:4" x14ac:dyDescent="0.25">
      <c r="A13" s="2" t="s">
        <v>69</v>
      </c>
      <c r="B13" s="12">
        <v>8</v>
      </c>
    </row>
    <row r="14" spans="1:4" x14ac:dyDescent="0.25">
      <c r="A14" s="2" t="s">
        <v>70</v>
      </c>
      <c r="B14" s="12">
        <v>4</v>
      </c>
    </row>
    <row r="15" spans="1:4" x14ac:dyDescent="0.25">
      <c r="A15" s="2" t="s">
        <v>71</v>
      </c>
      <c r="B15" s="12">
        <v>4</v>
      </c>
    </row>
    <row r="16" spans="1:4" x14ac:dyDescent="0.25">
      <c r="A16" s="2" t="s">
        <v>72</v>
      </c>
      <c r="B16" s="14">
        <v>1</v>
      </c>
      <c r="D16" s="10" t="s">
        <v>73</v>
      </c>
    </row>
    <row r="17" spans="1:4" x14ac:dyDescent="0.25">
      <c r="A17" s="2" t="s">
        <v>74</v>
      </c>
      <c r="B17" s="14">
        <v>1</v>
      </c>
    </row>
    <row r="18" spans="1:4" x14ac:dyDescent="0.25">
      <c r="A18" s="2" t="s">
        <v>75</v>
      </c>
      <c r="B18" s="12">
        <v>9</v>
      </c>
      <c r="D18" s="10" t="s">
        <v>76</v>
      </c>
    </row>
    <row r="21" spans="1:4" x14ac:dyDescent="0.25">
      <c r="A21" s="4" t="s">
        <v>77</v>
      </c>
      <c r="B21" s="4"/>
      <c r="C21" s="4"/>
      <c r="D21" s="4"/>
    </row>
    <row r="22" spans="1:4" x14ac:dyDescent="0.25">
      <c r="A22" s="2" t="s">
        <v>67</v>
      </c>
      <c r="B22" s="12">
        <v>0</v>
      </c>
    </row>
    <row r="23" spans="1:4" x14ac:dyDescent="0.25">
      <c r="A23" s="2" t="s">
        <v>68</v>
      </c>
      <c r="B23" s="12">
        <v>0</v>
      </c>
    </row>
    <row r="24" spans="1:4" x14ac:dyDescent="0.25">
      <c r="A24" s="2" t="s">
        <v>69</v>
      </c>
      <c r="B24" s="12">
        <v>4</v>
      </c>
    </row>
    <row r="25" spans="1:4" x14ac:dyDescent="0.25">
      <c r="A25" s="2" t="s">
        <v>70</v>
      </c>
      <c r="B25" s="12">
        <v>4</v>
      </c>
    </row>
    <row r="26" spans="1:4" x14ac:dyDescent="0.25">
      <c r="A26" s="2" t="s">
        <v>71</v>
      </c>
      <c r="B26" s="12">
        <v>0</v>
      </c>
    </row>
    <row r="27" spans="1:4" x14ac:dyDescent="0.25">
      <c r="A27" s="2" t="s">
        <v>72</v>
      </c>
      <c r="B27" s="14">
        <v>0</v>
      </c>
      <c r="D27" s="10" t="s">
        <v>73</v>
      </c>
    </row>
    <row r="28" spans="1:4" x14ac:dyDescent="0.25">
      <c r="A28" s="2" t="s">
        <v>74</v>
      </c>
      <c r="B28" s="14">
        <v>1</v>
      </c>
    </row>
    <row r="29" spans="1:4" x14ac:dyDescent="0.25">
      <c r="A29" s="2" t="s">
        <v>75</v>
      </c>
      <c r="B29" s="12">
        <v>1</v>
      </c>
      <c r="D29" s="10" t="s">
        <v>76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Instruções</vt:lpstr>
      <vt:lpstr>Traço Principal</vt:lpstr>
      <vt:lpstr>Teste de Conflito</vt:lpstr>
      <vt:lpstr>Resumo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Ivan</cp:lastModifiedBy>
  <cp:revision>0</cp:revision>
  <dcterms:created xsi:type="dcterms:W3CDTF">2026-09-07T16:41:39Z</dcterms:created>
  <dcterms:modified xsi:type="dcterms:W3CDTF">2026-10-01T11:50:46Z</dcterms:modified>
  <dc:language>en-US</dc:language>
</cp:coreProperties>
</file>